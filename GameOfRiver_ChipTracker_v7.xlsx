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Log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#,##0;(#,##0);&quot;-&quot;"/>
    <numFmt numFmtId="166" formatCode="[Green]▲ #,##0;[Red]▼ #,##0;&quot;-&quot;"/>
    <numFmt numFmtId="167" formatCode="0;0;&quot;-&quot;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FFD4AF37"/>
      <sz val="16"/>
    </font>
    <font>
      <name val="Arial"/>
      <color rgb="FF888888"/>
      <sz val="11"/>
    </font>
    <font>
      <name val="Arial"/>
      <b val="1"/>
      <color rgb="FF8B6914"/>
      <sz val="9"/>
    </font>
    <font>
      <name val="Arial"/>
      <b val="1"/>
      <color rgb="FFEEEEEE"/>
      <sz val="10"/>
    </font>
    <font>
      <name val="Arial"/>
      <b val="1"/>
      <color rgb="FF0D0D0D"/>
      <sz val="9"/>
    </font>
    <font>
      <name val="Arial"/>
      <color rgb="FF888888"/>
      <sz val="9"/>
    </font>
    <font>
      <name val="Arial"/>
      <color rgb="FF4A9EFF"/>
      <sz val="10"/>
    </font>
    <font>
      <name val="Arial"/>
      <b val="1"/>
      <color rgb="FFD4AF37"/>
      <sz val="10"/>
    </font>
    <font>
      <name val="Arial"/>
      <b val="1"/>
      <color rgb="FFEEEEEE"/>
      <sz val="11"/>
    </font>
    <font>
      <name val="Arial"/>
      <b val="1"/>
      <color rgb="FFD4AF37"/>
      <sz val="11"/>
    </font>
    <font>
      <name val="Arial"/>
      <b val="1"/>
      <color rgb="FFEEEEEE"/>
      <sz val="12"/>
    </font>
    <font>
      <name val="Arial"/>
      <color rgb="FFEEEEEE"/>
      <sz val="10"/>
    </font>
    <font>
      <name val="Arial"/>
      <b val="1"/>
      <color rgb="FFD4AF37"/>
      <sz val="14"/>
    </font>
    <font>
      <name val="Arial"/>
      <b val="1"/>
      <color rgb="FF4A9EFF"/>
      <sz val="13"/>
    </font>
    <font>
      <name val="Arial"/>
      <b val="1"/>
      <color rgb="FF0D0D0D"/>
      <sz val="11"/>
    </font>
    <font>
      <name val="Arial"/>
      <b val="1"/>
      <color rgb="FF0D0D0D"/>
      <sz val="14"/>
    </font>
    <font>
      <name val="Arial"/>
      <b val="1"/>
      <color rgb="FFE05555"/>
      <sz val="11"/>
    </font>
    <font>
      <name val="Arial"/>
      <color rgb="FF8B6914"/>
      <sz val="9"/>
    </font>
    <font>
      <name val="Arial"/>
      <b val="1"/>
      <color rgb="FFD4AF37"/>
      <sz val="15"/>
    </font>
    <font>
      <name val="Arial"/>
      <b val="1"/>
      <color rgb="FF0D0D0D"/>
      <sz val="10"/>
    </font>
    <font>
      <name val="Arial"/>
      <color rgb="FF888888"/>
      <sz val="10"/>
    </font>
    <font>
      <name val="Arial"/>
      <b val="1"/>
      <color rgb="FF0D0D0D"/>
      <sz val="12"/>
    </font>
    <font>
      <name val="Arial"/>
      <b val="1"/>
      <color rgb="FF0D0D0D"/>
      <sz val="16"/>
    </font>
    <font>
      <name val="Arial"/>
      <b val="1"/>
      <color rgb="FFD4AF37"/>
      <sz val="13"/>
    </font>
  </fonts>
  <fills count="8">
    <fill>
      <patternFill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0D0D0D"/>
        <bgColor rgb="FF0D0D0D"/>
      </patternFill>
    </fill>
    <fill>
      <patternFill patternType="solid">
        <fgColor rgb="FFD4AF37"/>
        <bgColor rgb="FFD4AF37"/>
      </patternFill>
    </fill>
    <fill>
      <patternFill patternType="solid">
        <fgColor rgb="FF242424"/>
        <bgColor rgb="FF242424"/>
      </patternFill>
    </fill>
    <fill>
      <patternFill patternType="solid">
        <fgColor rgb="FF2E2E2E"/>
        <bgColor rgb="FF2E2E2E"/>
      </patternFill>
    </fill>
    <fill>
      <patternFill patternType="solid">
        <fgColor rgb="FF1A1A1A"/>
        <bgColor rgb="FF1A1A1A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</border>
    <border>
      <left style="medium">
        <color rgb="FF8B6914"/>
      </left>
      <right style="medium">
        <color rgb="FF8B6914"/>
      </right>
      <top style="medium">
        <color rgb="FF8B6914"/>
      </top>
      <bottom style="medium">
        <color rgb="FF8B6914"/>
      </bottom>
    </border>
    <border>
      <left/>
      <right/>
      <top style="thin">
        <color rgb="FF2A2A2A"/>
      </top>
      <bottom/>
      <diagonal/>
    </border>
    <border>
      <left/>
      <right style="thin">
        <color rgb="FF2A2A2A"/>
      </right>
      <top style="thin">
        <color rgb="FF2A2A2A"/>
      </top>
      <bottom/>
      <diagonal/>
    </border>
    <border>
      <left/>
      <right/>
      <top style="thin">
        <color rgb="FF2A2A2A"/>
      </top>
      <bottom style="thin">
        <color rgb="FF2A2A2A"/>
      </bottom>
      <diagonal/>
    </border>
    <border>
      <left/>
      <right style="thin">
        <color rgb="FF2A2A2A"/>
      </right>
      <top style="thin">
        <color rgb="FF2A2A2A"/>
      </top>
      <bottom style="thin">
        <color rgb="FF2A2A2A"/>
      </bottom>
      <diagonal/>
    </border>
    <border>
      <left/>
      <right/>
      <top style="medium">
        <color rgb="FF8B6914"/>
      </top>
      <bottom/>
      <diagonal/>
    </border>
    <border>
      <left/>
      <right style="medium">
        <color rgb="FF8B6914"/>
      </right>
      <top style="medium">
        <color rgb="FF8B6914"/>
      </top>
      <bottom/>
      <diagonal/>
    </border>
    <border>
      <left/>
      <right/>
      <top style="medium">
        <color rgb="FF8B6914"/>
      </top>
      <bottom style="medium">
        <color rgb="FF8B6914"/>
      </bottom>
      <diagonal/>
    </border>
    <border>
      <left/>
      <right style="medium">
        <color rgb="FF8B6914"/>
      </right>
      <top style="medium">
        <color rgb="FF8B6914"/>
      </top>
      <bottom style="medium">
        <color rgb="FF8B691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/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5" fontId="7" fillId="6" borderId="2" applyAlignment="1" pivotButton="0" quotePrefix="0" xfId="0">
      <alignment horizontal="center" vertical="center" wrapText="1"/>
    </xf>
    <xf numFmtId="165" fontId="8" fillId="5" borderId="2" applyAlignment="1" pivotButton="0" quotePrefix="0" xfId="0">
      <alignment horizontal="center" vertical="center" wrapText="1"/>
    </xf>
    <xf numFmtId="166" fontId="9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165" fontId="8" fillId="7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165" fontId="10" fillId="3" borderId="3" applyAlignment="1" pivotButton="0" quotePrefix="0" xfId="0">
      <alignment horizontal="center" vertical="center" wrapText="1"/>
    </xf>
    <xf numFmtId="166" fontId="11" fillId="3" borderId="3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165" fontId="10" fillId="7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165" fontId="9" fillId="5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166" fontId="13" fillId="3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165" fontId="14" fillId="6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165" fontId="16" fillId="4" borderId="1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67" fontId="17" fillId="7" borderId="2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21" fillId="2" borderId="16" pivotButton="0" quotePrefix="0" xfId="0"/>
    <xf numFmtId="0" fontId="22" fillId="4" borderId="1" applyAlignment="1" pivotButton="0" quotePrefix="0" xfId="0">
      <alignment horizontal="left" vertical="center" wrapText="1"/>
    </xf>
    <xf numFmtId="166" fontId="23" fillId="4" borderId="1" applyAlignment="1" pivotButton="0" quotePrefix="0" xfId="0">
      <alignment horizontal="center" vertical="center" wrapText="1"/>
    </xf>
    <xf numFmtId="167" fontId="9" fillId="7" borderId="2" applyAlignment="1" pivotButton="0" quotePrefix="0" xfId="0">
      <alignment horizontal="center" vertical="center" wrapText="1"/>
    </xf>
    <xf numFmtId="167" fontId="17" fillId="5" borderId="2" applyAlignment="1" pivotButton="0" quotePrefix="0" xfId="0">
      <alignment horizontal="center" vertical="center" wrapText="1"/>
    </xf>
    <xf numFmtId="0" fontId="18" fillId="3" borderId="16" applyAlignment="1" pivotButton="0" quotePrefix="0" xfId="0">
      <alignment horizontal="center" vertical="center" wrapText="1"/>
    </xf>
    <xf numFmtId="0" fontId="18" fillId="2" borderId="16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left" vertical="center" wrapText="1"/>
    </xf>
    <xf numFmtId="0" fontId="21" fillId="4" borderId="1" pivotButton="0" quotePrefix="0" xfId="0"/>
    <xf numFmtId="0" fontId="9" fillId="7" borderId="2" applyAlignment="1" pivotButton="0" quotePrefix="0" xfId="0">
      <alignment horizontal="left" vertical="center" wrapText="1"/>
    </xf>
    <xf numFmtId="168" fontId="8" fillId="7" borderId="2" applyAlignment="1" pivotButton="0" quotePrefix="0" xfId="0">
      <alignment horizontal="center" vertical="center" wrapText="1"/>
    </xf>
    <xf numFmtId="166" fontId="11" fillId="7" borderId="2" applyAlignment="1" pivotButton="0" quotePrefix="0" xfId="0">
      <alignment horizontal="center" vertical="center" wrapText="1"/>
    </xf>
    <xf numFmtId="0" fontId="21" fillId="7" borderId="2" pivotButton="0" quotePrefix="0" xfId="0"/>
    <xf numFmtId="0" fontId="9" fillId="5" borderId="2" applyAlignment="1" pivotButton="0" quotePrefix="0" xfId="0">
      <alignment horizontal="left" vertical="center" wrapText="1"/>
    </xf>
    <xf numFmtId="168" fontId="8" fillId="5" borderId="2" applyAlignment="1" pivotButton="0" quotePrefix="0" xfId="0">
      <alignment horizontal="center" vertical="center" wrapText="1"/>
    </xf>
    <xf numFmtId="166" fontId="11" fillId="5" borderId="2" applyAlignment="1" pivotButton="0" quotePrefix="0" xfId="0">
      <alignment horizontal="center" vertical="center" wrapText="1"/>
    </xf>
    <xf numFmtId="0" fontId="21" fillId="5" borderId="2" pivotButton="0" quotePrefix="0" xfId="0"/>
    <xf numFmtId="0" fontId="21" fillId="3" borderId="3" pivotButton="0" quotePrefix="0" xfId="0"/>
    <xf numFmtId="0" fontId="10" fillId="3" borderId="3" applyAlignment="1" pivotButton="0" quotePrefix="0" xfId="0">
      <alignment horizontal="left" vertical="center" wrapText="1"/>
    </xf>
    <xf numFmtId="168" fontId="10" fillId="3" borderId="3" applyAlignment="1" pivotButton="0" quotePrefix="0" xfId="0">
      <alignment horizontal="center" vertical="center" wrapText="1"/>
    </xf>
    <xf numFmtId="166" fontId="24" fillId="3" borderId="3" applyAlignment="1" pivotButton="0" quotePrefix="0" xfId="0">
      <alignment horizontal="center" vertical="center" wrapText="1"/>
    </xf>
    <xf numFmtId="0" fontId="18" fillId="3" borderId="1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O220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6" customWidth="1" min="4" max="4"/>
    <col width="13" customWidth="1" min="5" max="5"/>
    <col width="13" customWidth="1" min="6" max="6"/>
    <col width="14" customWidth="1" min="7" max="7"/>
    <col width="14" customWidth="1" min="8" max="8"/>
    <col width="15" customWidth="1" min="9" max="9"/>
    <col width="24" customWidth="1" min="10" max="10"/>
  </cols>
  <sheetData>
    <row r="1" ht="36" customHeight="1">
      <c r="A1" s="1" t="inlineStr">
        <is>
          <t>♠  GAME OF RIVER  —  PRIVATE CLUB  ♠</t>
        </is>
      </c>
      <c r="L1" s="2" t="n"/>
      <c r="M1" s="2" t="n"/>
      <c r="N1" s="2" t="n"/>
      <c r="O1" s="2" t="n"/>
    </row>
    <row r="2" ht="22" customHeight="1">
      <c r="A2" s="3" t="inlineStr">
        <is>
          <t>SESSION CHIP TRACKER  |  Buy-In &amp; Submit Log</t>
        </is>
      </c>
      <c r="L2" s="2" t="n"/>
      <c r="M2" s="2" t="n"/>
      <c r="N2" s="2" t="n"/>
      <c r="O2" s="2" t="n"/>
    </row>
    <row r="3" ht="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0" customHeight="1">
      <c r="A4" s="4" t="inlineStr">
        <is>
          <t>DATE</t>
        </is>
      </c>
      <c r="B4" s="5">
        <f>TODAY()</f>
        <v/>
      </c>
      <c r="C4" s="2" t="n"/>
      <c r="D4" s="4" t="inlineStr">
        <is>
          <t>SESSION</t>
        </is>
      </c>
      <c r="E4" s="6" t="inlineStr">
        <is>
          <t>Evening</t>
        </is>
      </c>
      <c r="F4" s="2" t="n"/>
      <c r="G4" s="4" t="inlineStr">
        <is>
          <t>TABLE</t>
        </is>
      </c>
      <c r="H4" s="6" t="inlineStr">
        <is>
          <t>Main</t>
        </is>
      </c>
      <c r="I4" s="2" t="n"/>
      <c r="J4" s="4" t="inlineStr">
        <is>
          <t>DEALER</t>
        </is>
      </c>
      <c r="K4" s="6" t="inlineStr"/>
      <c r="L4" s="2" t="n"/>
      <c r="M4" s="2" t="n"/>
      <c r="N4" s="2" t="n"/>
      <c r="O4" s="2" t="n"/>
    </row>
    <row r="5" ht="6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36" customHeight="1">
      <c r="A6" s="7" t="inlineStr">
        <is>
          <t>S.NO</t>
        </is>
      </c>
      <c r="B6" s="7" t="inlineStr">
        <is>
          <t>PLAYER NAME</t>
        </is>
      </c>
      <c r="C6" s="7" t="inlineStr">
        <is>
          <t>BUY-IN 1</t>
        </is>
      </c>
      <c r="D6" s="7" t="inlineStr">
        <is>
          <t>BUY-IN 2</t>
        </is>
      </c>
      <c r="E6" s="7" t="inlineStr">
        <is>
          <t>BUY-IN 3</t>
        </is>
      </c>
      <c r="F6" s="7" t="inlineStr">
        <is>
          <t>BUY-IN 4</t>
        </is>
      </c>
      <c r="G6" s="7" t="inlineStr">
        <is>
          <t>TOTAL
BUY-IN</t>
        </is>
      </c>
      <c r="H6" s="7" t="inlineStr">
        <is>
          <t>CHIPS
SUBMITTED</t>
        </is>
      </c>
      <c r="I6" s="7" t="inlineStr">
        <is>
          <t>P &amp; L</t>
        </is>
      </c>
      <c r="J6" s="7" t="inlineStr">
        <is>
          <t>NOTES</t>
        </is>
      </c>
      <c r="K6" s="2" t="n"/>
      <c r="L6" s="2" t="n"/>
      <c r="M6" s="2" t="n"/>
      <c r="N6" s="2" t="n"/>
      <c r="O6" s="2" t="n"/>
    </row>
    <row r="7" ht="22" customHeight="1">
      <c r="A7" s="8" t="n">
        <v>1</v>
      </c>
      <c r="B7" s="9" t="n"/>
      <c r="C7" s="10" t="n"/>
      <c r="D7" s="10" t="n"/>
      <c r="E7" s="10" t="n"/>
      <c r="F7" s="10" t="n"/>
      <c r="G7" s="11">
        <f>SUM(C7:F7)</f>
        <v/>
      </c>
      <c r="H7" s="10" t="n"/>
      <c r="I7" s="12">
        <f>IF(OR(G7=0,H7=""),"",H7-G7)</f>
        <v/>
      </c>
      <c r="J7" s="13" t="n"/>
      <c r="K7" s="2" t="n"/>
      <c r="L7" s="2" t="n"/>
      <c r="M7" s="2" t="n"/>
      <c r="N7" s="2" t="n"/>
      <c r="O7" s="2" t="n"/>
    </row>
    <row r="8" ht="22" customHeight="1">
      <c r="A8" s="14" t="n">
        <v>2</v>
      </c>
      <c r="B8" s="15" t="n"/>
      <c r="C8" s="10" t="n"/>
      <c r="D8" s="10" t="n"/>
      <c r="E8" s="10" t="n"/>
      <c r="F8" s="10" t="n"/>
      <c r="G8" s="16">
        <f>SUM(C8:F8)</f>
        <v/>
      </c>
      <c r="H8" s="10" t="n"/>
      <c r="I8" s="17">
        <f>IF(OR(G8=0,H8=""),"",H8-G8)</f>
        <v/>
      </c>
      <c r="J8" s="18" t="n"/>
      <c r="K8" s="2" t="n"/>
      <c r="L8" s="2" t="n"/>
      <c r="M8" s="2" t="n"/>
      <c r="N8" s="2" t="n"/>
      <c r="O8" s="2" t="n"/>
    </row>
    <row r="9" ht="22" customHeight="1">
      <c r="A9" s="8" t="n">
        <v>3</v>
      </c>
      <c r="B9" s="9" t="n"/>
      <c r="C9" s="10" t="n"/>
      <c r="D9" s="10" t="n"/>
      <c r="E9" s="10" t="n"/>
      <c r="F9" s="10" t="n"/>
      <c r="G9" s="11">
        <f>SUM(C9:F9)</f>
        <v/>
      </c>
      <c r="H9" s="10" t="n"/>
      <c r="I9" s="12">
        <f>IF(OR(G9=0,H9=""),"",H9-G9)</f>
        <v/>
      </c>
      <c r="J9" s="13" t="n"/>
      <c r="K9" s="2" t="n"/>
      <c r="L9" s="2" t="n"/>
      <c r="M9" s="2" t="n"/>
      <c r="N9" s="2" t="n"/>
      <c r="O9" s="2" t="n"/>
    </row>
    <row r="10" ht="22" customHeight="1">
      <c r="A10" s="14" t="n">
        <v>4</v>
      </c>
      <c r="B10" s="15" t="n"/>
      <c r="C10" s="10" t="n"/>
      <c r="D10" s="10" t="n"/>
      <c r="E10" s="10" t="n"/>
      <c r="F10" s="10" t="n"/>
      <c r="G10" s="16">
        <f>SUM(C10:F10)</f>
        <v/>
      </c>
      <c r="H10" s="10" t="n"/>
      <c r="I10" s="17">
        <f>IF(OR(G10=0,H10=""),"",H10-G10)</f>
        <v/>
      </c>
      <c r="J10" s="18" t="n"/>
      <c r="K10" s="2" t="n"/>
      <c r="L10" s="2" t="n"/>
      <c r="M10" s="2" t="n"/>
      <c r="N10" s="2" t="n"/>
      <c r="O10" s="2" t="n"/>
    </row>
    <row r="11" ht="22" customHeight="1">
      <c r="A11" s="8" t="n">
        <v>5</v>
      </c>
      <c r="B11" s="9" t="n"/>
      <c r="C11" s="10" t="n"/>
      <c r="D11" s="10" t="n"/>
      <c r="E11" s="10" t="n"/>
      <c r="F11" s="10" t="n"/>
      <c r="G11" s="11">
        <f>SUM(C11:F11)</f>
        <v/>
      </c>
      <c r="H11" s="10" t="n"/>
      <c r="I11" s="12">
        <f>IF(OR(G11=0,H11=""),"",H11-G11)</f>
        <v/>
      </c>
      <c r="J11" s="13" t="n"/>
      <c r="K11" s="2" t="n"/>
      <c r="L11" s="2" t="n"/>
      <c r="M11" s="2" t="n"/>
      <c r="N11" s="2" t="n"/>
      <c r="O11" s="2" t="n"/>
    </row>
    <row r="12" ht="22" customHeight="1">
      <c r="A12" s="14" t="n">
        <v>6</v>
      </c>
      <c r="B12" s="15" t="n"/>
      <c r="C12" s="10" t="n"/>
      <c r="D12" s="10" t="n"/>
      <c r="E12" s="10" t="n"/>
      <c r="F12" s="10" t="n"/>
      <c r="G12" s="16">
        <f>SUM(C12:F12)</f>
        <v/>
      </c>
      <c r="H12" s="10" t="n"/>
      <c r="I12" s="17">
        <f>IF(OR(G12=0,H12=""),"",H12-G12)</f>
        <v/>
      </c>
      <c r="J12" s="18" t="n"/>
      <c r="K12" s="2" t="n"/>
      <c r="L12" s="2" t="n"/>
      <c r="M12" s="2" t="n"/>
      <c r="N12" s="2" t="n"/>
      <c r="O12" s="2" t="n"/>
    </row>
    <row r="13" ht="22" customHeight="1">
      <c r="A13" s="8" t="n">
        <v>7</v>
      </c>
      <c r="B13" s="9" t="n"/>
      <c r="C13" s="10" t="n"/>
      <c r="D13" s="10" t="n"/>
      <c r="E13" s="10" t="n"/>
      <c r="F13" s="10" t="n"/>
      <c r="G13" s="11">
        <f>SUM(C13:F13)</f>
        <v/>
      </c>
      <c r="H13" s="10" t="n"/>
      <c r="I13" s="12">
        <f>IF(OR(G13=0,H13=""),"",H13-G13)</f>
        <v/>
      </c>
      <c r="J13" s="13" t="n"/>
      <c r="K13" s="2" t="n"/>
      <c r="L13" s="2" t="n"/>
      <c r="M13" s="2" t="n"/>
      <c r="N13" s="2" t="n"/>
      <c r="O13" s="2" t="n"/>
    </row>
    <row r="14" ht="22" customHeight="1">
      <c r="A14" s="14" t="n">
        <v>8</v>
      </c>
      <c r="B14" s="15" t="n"/>
      <c r="C14" s="10" t="n"/>
      <c r="D14" s="10" t="n"/>
      <c r="E14" s="10" t="n"/>
      <c r="F14" s="10" t="n"/>
      <c r="G14" s="16">
        <f>SUM(C14:F14)</f>
        <v/>
      </c>
      <c r="H14" s="10" t="n"/>
      <c r="I14" s="17">
        <f>IF(OR(G14=0,H14=""),"",H14-G14)</f>
        <v/>
      </c>
      <c r="J14" s="18" t="n"/>
      <c r="K14" s="2" t="n"/>
      <c r="L14" s="2" t="n"/>
      <c r="M14" s="2" t="n"/>
      <c r="N14" s="2" t="n"/>
      <c r="O14" s="2" t="n"/>
    </row>
    <row r="15" ht="22" customHeight="1">
      <c r="A15" s="8" t="n">
        <v>9</v>
      </c>
      <c r="B15" s="9" t="n"/>
      <c r="C15" s="10" t="n"/>
      <c r="D15" s="10" t="n"/>
      <c r="E15" s="10" t="n"/>
      <c r="F15" s="10" t="n"/>
      <c r="G15" s="11">
        <f>SUM(C15:F15)</f>
        <v/>
      </c>
      <c r="H15" s="10" t="n"/>
      <c r="I15" s="12">
        <f>IF(OR(G15=0,H15=""),"",H15-G15)</f>
        <v/>
      </c>
      <c r="J15" s="13" t="n"/>
      <c r="K15" s="2" t="n"/>
      <c r="L15" s="2" t="n"/>
      <c r="M15" s="2" t="n"/>
      <c r="N15" s="2" t="n"/>
      <c r="O15" s="2" t="n"/>
    </row>
    <row r="16" ht="22" customHeight="1">
      <c r="A16" s="14" t="n">
        <v>10</v>
      </c>
      <c r="B16" s="15" t="n"/>
      <c r="C16" s="10" t="n"/>
      <c r="D16" s="10" t="n"/>
      <c r="E16" s="10" t="n"/>
      <c r="F16" s="10" t="n"/>
      <c r="G16" s="16">
        <f>SUM(C16:F16)</f>
        <v/>
      </c>
      <c r="H16" s="10" t="n"/>
      <c r="I16" s="17">
        <f>IF(OR(G16=0,H16=""),"",H16-G16)</f>
        <v/>
      </c>
      <c r="J16" s="18" t="n"/>
      <c r="K16" s="2" t="n"/>
      <c r="L16" s="2" t="n"/>
      <c r="M16" s="2" t="n"/>
      <c r="N16" s="2" t="n"/>
      <c r="O16" s="2" t="n"/>
    </row>
    <row r="17" ht="22" customHeight="1">
      <c r="A17" s="8" t="n">
        <v>11</v>
      </c>
      <c r="B17" s="9" t="n"/>
      <c r="C17" s="10" t="n"/>
      <c r="D17" s="10" t="n"/>
      <c r="E17" s="10" t="n"/>
      <c r="F17" s="10" t="n"/>
      <c r="G17" s="11">
        <f>SUM(C17:F17)</f>
        <v/>
      </c>
      <c r="H17" s="10" t="n"/>
      <c r="I17" s="12">
        <f>IF(OR(G17=0,H17=""),"",H17-G17)</f>
        <v/>
      </c>
      <c r="J17" s="13" t="n"/>
      <c r="K17" s="2" t="n"/>
      <c r="L17" s="2" t="n"/>
      <c r="M17" s="2" t="n"/>
      <c r="N17" s="2" t="n"/>
      <c r="O17" s="2" t="n"/>
    </row>
    <row r="18" ht="22" customHeight="1">
      <c r="A18" s="14" t="n">
        <v>12</v>
      </c>
      <c r="B18" s="15" t="n"/>
      <c r="C18" s="10" t="n"/>
      <c r="D18" s="10" t="n"/>
      <c r="E18" s="10" t="n"/>
      <c r="F18" s="10" t="n"/>
      <c r="G18" s="16">
        <f>SUM(C18:F18)</f>
        <v/>
      </c>
      <c r="H18" s="10" t="n"/>
      <c r="I18" s="17">
        <f>IF(OR(G18=0,H18=""),"",H18-G18)</f>
        <v/>
      </c>
      <c r="J18" s="18" t="n"/>
      <c r="K18" s="2" t="n"/>
      <c r="L18" s="2" t="n"/>
      <c r="M18" s="2" t="n"/>
      <c r="N18" s="2" t="n"/>
      <c r="O18" s="2" t="n"/>
    </row>
    <row r="19" ht="22" customHeight="1">
      <c r="A19" s="8" t="n">
        <v>13</v>
      </c>
      <c r="B19" s="9" t="n"/>
      <c r="C19" s="10" t="n"/>
      <c r="D19" s="10" t="n"/>
      <c r="E19" s="10" t="n"/>
      <c r="F19" s="10" t="n"/>
      <c r="G19" s="11">
        <f>SUM(C19:F19)</f>
        <v/>
      </c>
      <c r="H19" s="10" t="n"/>
      <c r="I19" s="12">
        <f>IF(OR(G19=0,H19=""),"",H19-G19)</f>
        <v/>
      </c>
      <c r="J19" s="13" t="n"/>
      <c r="K19" s="2" t="n"/>
      <c r="L19" s="2" t="n"/>
      <c r="M19" s="2" t="n"/>
      <c r="N19" s="2" t="n"/>
      <c r="O19" s="2" t="n"/>
    </row>
    <row r="20" ht="22" customHeight="1">
      <c r="A20" s="14" t="n">
        <v>14</v>
      </c>
      <c r="B20" s="15" t="n"/>
      <c r="C20" s="10" t="n"/>
      <c r="D20" s="10" t="n"/>
      <c r="E20" s="10" t="n"/>
      <c r="F20" s="10" t="n"/>
      <c r="G20" s="16">
        <f>SUM(C20:F20)</f>
        <v/>
      </c>
      <c r="H20" s="10" t="n"/>
      <c r="I20" s="17">
        <f>IF(OR(G20=0,H20=""),"",H20-G20)</f>
        <v/>
      </c>
      <c r="J20" s="18" t="n"/>
      <c r="K20" s="2" t="n"/>
      <c r="L20" s="2" t="n"/>
      <c r="M20" s="2" t="n"/>
      <c r="N20" s="2" t="n"/>
      <c r="O20" s="2" t="n"/>
    </row>
    <row r="21" ht="22" customHeight="1">
      <c r="A21" s="8" t="n">
        <v>15</v>
      </c>
      <c r="B21" s="9" t="n"/>
      <c r="C21" s="10" t="n"/>
      <c r="D21" s="10" t="n"/>
      <c r="E21" s="10" t="n"/>
      <c r="F21" s="10" t="n"/>
      <c r="G21" s="11">
        <f>SUM(C21:F21)</f>
        <v/>
      </c>
      <c r="H21" s="10" t="n"/>
      <c r="I21" s="12">
        <f>IF(OR(G21=0,H21=""),"",H21-G21)</f>
        <v/>
      </c>
      <c r="J21" s="13" t="n"/>
      <c r="K21" s="2" t="n"/>
      <c r="L21" s="2" t="n"/>
      <c r="M21" s="2" t="n"/>
      <c r="N21" s="2" t="n"/>
      <c r="O21" s="2" t="n"/>
    </row>
    <row r="22" ht="22" customHeight="1">
      <c r="A22" s="14" t="n">
        <v>16</v>
      </c>
      <c r="B22" s="15" t="n"/>
      <c r="C22" s="10" t="n"/>
      <c r="D22" s="10" t="n"/>
      <c r="E22" s="10" t="n"/>
      <c r="F22" s="10" t="n"/>
      <c r="G22" s="16">
        <f>SUM(C22:F22)</f>
        <v/>
      </c>
      <c r="H22" s="10" t="n"/>
      <c r="I22" s="17">
        <f>IF(OR(G22=0,H22=""),"",H22-G22)</f>
        <v/>
      </c>
      <c r="J22" s="18" t="n"/>
      <c r="K22" s="2" t="n"/>
      <c r="L22" s="2" t="n"/>
      <c r="M22" s="2" t="n"/>
      <c r="N22" s="2" t="n"/>
      <c r="O22" s="2" t="n"/>
    </row>
    <row r="23" ht="22" customHeight="1">
      <c r="A23" s="8" t="n">
        <v>17</v>
      </c>
      <c r="B23" s="9" t="n"/>
      <c r="C23" s="10" t="n"/>
      <c r="D23" s="10" t="n"/>
      <c r="E23" s="10" t="n"/>
      <c r="F23" s="10" t="n"/>
      <c r="G23" s="11">
        <f>SUM(C23:F23)</f>
        <v/>
      </c>
      <c r="H23" s="10" t="n"/>
      <c r="I23" s="12">
        <f>IF(OR(G23=0,H23=""),"",H23-G23)</f>
        <v/>
      </c>
      <c r="J23" s="13" t="n"/>
      <c r="K23" s="2" t="n"/>
      <c r="L23" s="2" t="n"/>
      <c r="M23" s="2" t="n"/>
      <c r="N23" s="2" t="n"/>
      <c r="O23" s="2" t="n"/>
    </row>
    <row r="24" ht="22" customHeight="1">
      <c r="A24" s="14" t="n">
        <v>18</v>
      </c>
      <c r="B24" s="15" t="n"/>
      <c r="C24" s="10" t="n"/>
      <c r="D24" s="10" t="n"/>
      <c r="E24" s="10" t="n"/>
      <c r="F24" s="10" t="n"/>
      <c r="G24" s="16">
        <f>SUM(C24:F24)</f>
        <v/>
      </c>
      <c r="H24" s="10" t="n"/>
      <c r="I24" s="17">
        <f>IF(OR(G24=0,H24=""),"",H24-G24)</f>
        <v/>
      </c>
      <c r="J24" s="18" t="n"/>
      <c r="K24" s="2" t="n"/>
      <c r="L24" s="2" t="n"/>
      <c r="M24" s="2" t="n"/>
      <c r="N24" s="2" t="n"/>
      <c r="O24" s="2" t="n"/>
    </row>
    <row r="25" ht="22" customHeight="1">
      <c r="A25" s="8" t="n">
        <v>19</v>
      </c>
      <c r="B25" s="9" t="n"/>
      <c r="C25" s="10" t="n"/>
      <c r="D25" s="10" t="n"/>
      <c r="E25" s="10" t="n"/>
      <c r="F25" s="10" t="n"/>
      <c r="G25" s="11">
        <f>SUM(C25:F25)</f>
        <v/>
      </c>
      <c r="H25" s="10" t="n"/>
      <c r="I25" s="12">
        <f>IF(OR(G25=0,H25=""),"",H25-G25)</f>
        <v/>
      </c>
      <c r="J25" s="13" t="n"/>
      <c r="K25" s="2" t="n"/>
      <c r="L25" s="2" t="n"/>
      <c r="M25" s="2" t="n"/>
      <c r="N25" s="2" t="n"/>
      <c r="O25" s="2" t="n"/>
    </row>
    <row r="26" ht="22" customHeight="1">
      <c r="A26" s="14" t="n">
        <v>20</v>
      </c>
      <c r="B26" s="15" t="n"/>
      <c r="C26" s="10" t="n"/>
      <c r="D26" s="10" t="n"/>
      <c r="E26" s="10" t="n"/>
      <c r="F26" s="10" t="n"/>
      <c r="G26" s="16">
        <f>SUM(C26:F26)</f>
        <v/>
      </c>
      <c r="H26" s="10" t="n"/>
      <c r="I26" s="17">
        <f>IF(OR(G26=0,H26=""),"",H26-G26)</f>
        <v/>
      </c>
      <c r="J26" s="18" t="n"/>
      <c r="K26" s="2" t="n"/>
      <c r="L26" s="2" t="n"/>
      <c r="M26" s="2" t="n"/>
      <c r="N26" s="2" t="n"/>
      <c r="O26" s="2" t="n"/>
    </row>
    <row r="27" ht="22" customHeight="1">
      <c r="A27" s="8" t="n">
        <v>21</v>
      </c>
      <c r="B27" s="9" t="n"/>
      <c r="C27" s="10" t="n"/>
      <c r="D27" s="10" t="n"/>
      <c r="E27" s="10" t="n"/>
      <c r="F27" s="10" t="n"/>
      <c r="G27" s="11">
        <f>SUM(C27:F27)</f>
        <v/>
      </c>
      <c r="H27" s="10" t="n"/>
      <c r="I27" s="12">
        <f>IF(OR(G27=0,H27=""),"",H27-G27)</f>
        <v/>
      </c>
      <c r="J27" s="13" t="n"/>
      <c r="K27" s="2" t="n"/>
      <c r="L27" s="2" t="n"/>
      <c r="M27" s="2" t="n"/>
      <c r="N27" s="2" t="n"/>
      <c r="O27" s="2" t="n"/>
    </row>
    <row r="28" ht="22" customHeight="1">
      <c r="A28" s="14" t="n">
        <v>22</v>
      </c>
      <c r="B28" s="15" t="n"/>
      <c r="C28" s="10" t="n"/>
      <c r="D28" s="10" t="n"/>
      <c r="E28" s="10" t="n"/>
      <c r="F28" s="10" t="n"/>
      <c r="G28" s="16">
        <f>SUM(C28:F28)</f>
        <v/>
      </c>
      <c r="H28" s="10" t="n"/>
      <c r="I28" s="17">
        <f>IF(OR(G28=0,H28=""),"",H28-G28)</f>
        <v/>
      </c>
      <c r="J28" s="18" t="n"/>
      <c r="K28" s="2" t="n"/>
      <c r="L28" s="2" t="n"/>
      <c r="M28" s="2" t="n"/>
      <c r="N28" s="2" t="n"/>
      <c r="O28" s="2" t="n"/>
    </row>
    <row r="29" ht="22" customHeight="1">
      <c r="A29" s="8" t="n">
        <v>23</v>
      </c>
      <c r="B29" s="9" t="n"/>
      <c r="C29" s="10" t="n"/>
      <c r="D29" s="10" t="n"/>
      <c r="E29" s="10" t="n"/>
      <c r="F29" s="10" t="n"/>
      <c r="G29" s="11">
        <f>SUM(C29:F29)</f>
        <v/>
      </c>
      <c r="H29" s="10" t="n"/>
      <c r="I29" s="12">
        <f>IF(OR(G29=0,H29=""),"",H29-G29)</f>
        <v/>
      </c>
      <c r="J29" s="13" t="n"/>
      <c r="K29" s="2" t="n"/>
      <c r="L29" s="2" t="n"/>
      <c r="M29" s="2" t="n"/>
      <c r="N29" s="2" t="n"/>
      <c r="O29" s="2" t="n"/>
    </row>
    <row r="30" ht="22" customHeight="1">
      <c r="A30" s="14" t="n">
        <v>24</v>
      </c>
      <c r="B30" s="15" t="n"/>
      <c r="C30" s="10" t="n"/>
      <c r="D30" s="10" t="n"/>
      <c r="E30" s="10" t="n"/>
      <c r="F30" s="10" t="n"/>
      <c r="G30" s="16">
        <f>SUM(C30:F30)</f>
        <v/>
      </c>
      <c r="H30" s="10" t="n"/>
      <c r="I30" s="17">
        <f>IF(OR(G30=0,H30=""),"",H30-G30)</f>
        <v/>
      </c>
      <c r="J30" s="18" t="n"/>
      <c r="K30" s="2" t="n"/>
      <c r="L30" s="2" t="n"/>
      <c r="M30" s="2" t="n"/>
      <c r="N30" s="2" t="n"/>
      <c r="O30" s="2" t="n"/>
    </row>
    <row r="31" ht="22" customHeight="1">
      <c r="A31" s="8" t="n">
        <v>25</v>
      </c>
      <c r="B31" s="9" t="n"/>
      <c r="C31" s="10" t="n"/>
      <c r="D31" s="10" t="n"/>
      <c r="E31" s="10" t="n"/>
      <c r="F31" s="10" t="n"/>
      <c r="G31" s="11">
        <f>SUM(C31:F31)</f>
        <v/>
      </c>
      <c r="H31" s="10" t="n"/>
      <c r="I31" s="12">
        <f>IF(OR(G31=0,H31=""),"",H31-G31)</f>
        <v/>
      </c>
      <c r="J31" s="13" t="n"/>
      <c r="K31" s="2" t="n"/>
      <c r="L31" s="2" t="n"/>
      <c r="M31" s="2" t="n"/>
      <c r="N31" s="2" t="n"/>
      <c r="O31" s="2" t="n"/>
    </row>
    <row r="32" ht="22" customHeight="1">
      <c r="A32" s="14" t="n">
        <v>26</v>
      </c>
      <c r="B32" s="15" t="n"/>
      <c r="C32" s="10" t="n"/>
      <c r="D32" s="10" t="n"/>
      <c r="E32" s="10" t="n"/>
      <c r="F32" s="10" t="n"/>
      <c r="G32" s="16">
        <f>SUM(C32:F32)</f>
        <v/>
      </c>
      <c r="H32" s="10" t="n"/>
      <c r="I32" s="17">
        <f>IF(OR(G32=0,H32=""),"",H32-G32)</f>
        <v/>
      </c>
      <c r="J32" s="18" t="n"/>
      <c r="K32" s="2" t="n"/>
      <c r="L32" s="2" t="n"/>
      <c r="M32" s="2" t="n"/>
      <c r="N32" s="2" t="n"/>
      <c r="O32" s="2" t="n"/>
    </row>
    <row r="33" ht="22" customHeight="1">
      <c r="A33" s="8" t="n">
        <v>27</v>
      </c>
      <c r="B33" s="9" t="n"/>
      <c r="C33" s="10" t="n"/>
      <c r="D33" s="10" t="n"/>
      <c r="E33" s="10" t="n"/>
      <c r="F33" s="10" t="n"/>
      <c r="G33" s="11">
        <f>SUM(C33:F33)</f>
        <v/>
      </c>
      <c r="H33" s="10" t="n"/>
      <c r="I33" s="12">
        <f>IF(OR(G33=0,H33=""),"",H33-G33)</f>
        <v/>
      </c>
      <c r="J33" s="13" t="n"/>
      <c r="K33" s="2" t="n"/>
      <c r="L33" s="2" t="n"/>
      <c r="M33" s="2" t="n"/>
      <c r="N33" s="2" t="n"/>
      <c r="O33" s="2" t="n"/>
    </row>
    <row r="34" ht="22" customHeight="1">
      <c r="A34" s="14" t="n">
        <v>28</v>
      </c>
      <c r="B34" s="15" t="n"/>
      <c r="C34" s="10" t="n"/>
      <c r="D34" s="10" t="n"/>
      <c r="E34" s="10" t="n"/>
      <c r="F34" s="10" t="n"/>
      <c r="G34" s="16">
        <f>SUM(C34:F34)</f>
        <v/>
      </c>
      <c r="H34" s="10" t="n"/>
      <c r="I34" s="17">
        <f>IF(OR(G34=0,H34=""),"",H34-G34)</f>
        <v/>
      </c>
      <c r="J34" s="18" t="n"/>
      <c r="K34" s="2" t="n"/>
      <c r="L34" s="2" t="n"/>
      <c r="M34" s="2" t="n"/>
      <c r="N34" s="2" t="n"/>
      <c r="O34" s="2" t="n"/>
    </row>
    <row r="35" ht="22" customHeight="1">
      <c r="A35" s="8" t="n">
        <v>29</v>
      </c>
      <c r="B35" s="9" t="n"/>
      <c r="C35" s="10" t="n"/>
      <c r="D35" s="10" t="n"/>
      <c r="E35" s="10" t="n"/>
      <c r="F35" s="10" t="n"/>
      <c r="G35" s="11">
        <f>SUM(C35:F35)</f>
        <v/>
      </c>
      <c r="H35" s="10" t="n"/>
      <c r="I35" s="12">
        <f>IF(OR(G35=0,H35=""),"",H35-G35)</f>
        <v/>
      </c>
      <c r="J35" s="13" t="n"/>
      <c r="K35" s="2" t="n"/>
      <c r="L35" s="2" t="n"/>
      <c r="M35" s="2" t="n"/>
      <c r="N35" s="2" t="n"/>
      <c r="O35" s="2" t="n"/>
    </row>
    <row r="36" ht="22" customHeight="1">
      <c r="A36" s="14" t="n">
        <v>30</v>
      </c>
      <c r="B36" s="15" t="n"/>
      <c r="C36" s="10" t="n"/>
      <c r="D36" s="10" t="n"/>
      <c r="E36" s="10" t="n"/>
      <c r="F36" s="10" t="n"/>
      <c r="G36" s="16">
        <f>SUM(C36:F36)</f>
        <v/>
      </c>
      <c r="H36" s="10" t="n"/>
      <c r="I36" s="17">
        <f>IF(OR(G36=0,H36=""),"",H36-G36)</f>
        <v/>
      </c>
      <c r="J36" s="18" t="n"/>
      <c r="K36" s="2" t="n"/>
      <c r="L36" s="2" t="n"/>
      <c r="M36" s="2" t="n"/>
      <c r="N36" s="2" t="n"/>
      <c r="O36" s="2" t="n"/>
    </row>
    <row r="37" ht="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30" customHeight="1">
      <c r="A38" s="19" t="inlineStr">
        <is>
          <t>TOTALS</t>
        </is>
      </c>
      <c r="B38" s="20" t="n"/>
      <c r="C38" s="20" t="n"/>
      <c r="D38" s="20" t="n"/>
      <c r="E38" s="20" t="n"/>
      <c r="F38" s="20" t="n"/>
      <c r="G38" s="21">
        <f>SUM(G7:G36)</f>
        <v/>
      </c>
      <c r="H38" s="21">
        <f>SUM(H7:H36)</f>
        <v/>
      </c>
      <c r="I38" s="22">
        <f>SUM(I7:I36)</f>
        <v/>
      </c>
      <c r="J38" s="20" t="n"/>
      <c r="K38" s="2" t="n"/>
      <c r="L38" s="2" t="n"/>
      <c r="M38" s="2" t="n"/>
      <c r="N38" s="2" t="n"/>
      <c r="O38" s="2" t="n"/>
    </row>
    <row r="39" ht="18" customHeight="1">
      <c r="A39" s="23" t="inlineStr">
        <is>
          <t xml:space="preserve">  CHIP SUMMARY</t>
        </is>
      </c>
      <c r="K39" s="2" t="n"/>
      <c r="L39" s="2" t="n"/>
      <c r="M39" s="2" t="n"/>
      <c r="N39" s="2" t="n"/>
      <c r="O39" s="2" t="n"/>
    </row>
    <row r="40" ht="22" customHeight="1">
      <c r="A40" s="24" t="inlineStr">
        <is>
          <t>TOTAL CHIPS ISSUED  (all buy-ins)</t>
        </is>
      </c>
      <c r="B40" s="42" t="n"/>
      <c r="C40" s="42" t="n"/>
      <c r="D40" s="42" t="n"/>
      <c r="E40" s="42" t="n"/>
      <c r="F40" s="43" t="n"/>
      <c r="G40" s="25">
        <f>G38</f>
        <v/>
      </c>
      <c r="H40" s="42" t="n"/>
      <c r="I40" s="42" t="n"/>
      <c r="J40" s="43" t="n"/>
      <c r="K40" s="2" t="n"/>
      <c r="L40" s="2" t="n"/>
      <c r="M40" s="2" t="n"/>
      <c r="N40" s="2" t="n"/>
      <c r="O40" s="2" t="n"/>
    </row>
    <row r="41" ht="22" customHeight="1">
      <c r="A41" s="26" t="inlineStr">
        <is>
          <t>TOTAL CHIPS RETURNED  (submitted)</t>
        </is>
      </c>
      <c r="B41" s="42" t="n"/>
      <c r="C41" s="42" t="n"/>
      <c r="D41" s="42" t="n"/>
      <c r="E41" s="42" t="n"/>
      <c r="F41" s="43" t="n"/>
      <c r="G41" s="27">
        <f>H38</f>
        <v/>
      </c>
      <c r="H41" s="42" t="n"/>
      <c r="I41" s="42" t="n"/>
      <c r="J41" s="43" t="n"/>
      <c r="K41" s="2" t="n"/>
      <c r="L41" s="2" t="n"/>
      <c r="M41" s="2" t="n"/>
      <c r="N41" s="2" t="n"/>
      <c r="O41" s="2" t="n"/>
    </row>
    <row r="42" ht="28" customHeight="1">
      <c r="A42" s="28" t="inlineStr">
        <is>
          <t>CHIP DIFFERENCE  (Issued − Returned)</t>
        </is>
      </c>
      <c r="B42" s="44" t="n"/>
      <c r="C42" s="44" t="n"/>
      <c r="D42" s="44" t="n"/>
      <c r="E42" s="44" t="n"/>
      <c r="F42" s="45" t="n"/>
      <c r="G42" s="29">
        <f>G38-H38</f>
        <v/>
      </c>
      <c r="H42" s="44" t="n"/>
      <c r="I42" s="44" t="n"/>
      <c r="J42" s="45" t="n"/>
      <c r="K42" s="2" t="n"/>
      <c r="L42" s="2" t="n"/>
      <c r="M42" s="2" t="n"/>
      <c r="N42" s="2" t="n"/>
      <c r="O42" s="2" t="n"/>
    </row>
    <row r="43" ht="18" customHeight="1">
      <c r="A43" s="23" t="inlineStr">
        <is>
          <t xml:space="preserve">  RAKE  —  ENTER PER TABLE</t>
        </is>
      </c>
      <c r="K43" s="2" t="n"/>
      <c r="L43" s="2" t="n"/>
      <c r="M43" s="2" t="n"/>
      <c r="N43" s="2" t="n"/>
      <c r="O43" s="2" t="n"/>
    </row>
    <row r="44" ht="26" customHeight="1">
      <c r="A44" s="30" t="inlineStr">
        <is>
          <t>TABLE 1  —  RAKE</t>
        </is>
      </c>
      <c r="B44" s="44" t="n"/>
      <c r="C44" s="44" t="n"/>
      <c r="D44" s="44" t="n"/>
      <c r="E44" s="44" t="n"/>
      <c r="F44" s="45" t="n"/>
      <c r="G44" s="31" t="n"/>
      <c r="H44" s="44" t="n"/>
      <c r="I44" s="44" t="n"/>
      <c r="J44" s="45" t="n"/>
      <c r="K44" s="2" t="n"/>
      <c r="L44" s="2" t="n"/>
      <c r="M44" s="2" t="n"/>
      <c r="N44" s="2" t="n"/>
      <c r="O44" s="2" t="n"/>
    </row>
    <row r="45" ht="26" customHeight="1">
      <c r="A45" s="32" t="inlineStr">
        <is>
          <t>TABLE 2  —  RAKE</t>
        </is>
      </c>
      <c r="B45" s="44" t="n"/>
      <c r="C45" s="44" t="n"/>
      <c r="D45" s="44" t="n"/>
      <c r="E45" s="44" t="n"/>
      <c r="F45" s="45" t="n"/>
      <c r="G45" s="31" t="n"/>
      <c r="H45" s="44" t="n"/>
      <c r="I45" s="44" t="n"/>
      <c r="J45" s="45" t="n"/>
      <c r="K45" s="2" t="n"/>
      <c r="L45" s="2" t="n"/>
      <c r="M45" s="2" t="n"/>
      <c r="N45" s="2" t="n"/>
      <c r="O45" s="2" t="n"/>
    </row>
    <row r="46" ht="26" customHeight="1">
      <c r="A46" s="30" t="inlineStr">
        <is>
          <t>TABLE 3  —  RAKE</t>
        </is>
      </c>
      <c r="B46" s="44" t="n"/>
      <c r="C46" s="44" t="n"/>
      <c r="D46" s="44" t="n"/>
      <c r="E46" s="44" t="n"/>
      <c r="F46" s="45" t="n"/>
      <c r="G46" s="31" t="n"/>
      <c r="H46" s="44" t="n"/>
      <c r="I46" s="44" t="n"/>
      <c r="J46" s="45" t="n"/>
      <c r="K46" s="2" t="n"/>
      <c r="L46" s="2" t="n"/>
      <c r="M46" s="2" t="n"/>
      <c r="N46" s="2" t="n"/>
      <c r="O46" s="2" t="n"/>
    </row>
    <row r="47" ht="26" customHeight="1">
      <c r="A47" s="32" t="inlineStr">
        <is>
          <t>TABLE 4  —  RAKE</t>
        </is>
      </c>
      <c r="B47" s="44" t="n"/>
      <c r="C47" s="44" t="n"/>
      <c r="D47" s="44" t="n"/>
      <c r="E47" s="44" t="n"/>
      <c r="F47" s="45" t="n"/>
      <c r="G47" s="31" t="n"/>
      <c r="H47" s="44" t="n"/>
      <c r="I47" s="44" t="n"/>
      <c r="J47" s="45" t="n"/>
      <c r="K47" s="2" t="n"/>
      <c r="L47" s="2" t="n"/>
      <c r="M47" s="2" t="n"/>
      <c r="N47" s="2" t="n"/>
      <c r="O47" s="2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30" customHeight="1">
      <c r="A49" s="33" t="inlineStr">
        <is>
          <t>TOTAL RAKE  (all 4 tables)</t>
        </is>
      </c>
      <c r="B49" s="46" t="n"/>
      <c r="C49" s="46" t="n"/>
      <c r="D49" s="46" t="n"/>
      <c r="E49" s="46" t="n"/>
      <c r="F49" s="47" t="n"/>
      <c r="G49" s="34">
        <f>SUM(G44:G47)</f>
        <v/>
      </c>
      <c r="H49" s="46" t="n"/>
      <c r="I49" s="46" t="n"/>
      <c r="J49" s="47" t="n"/>
      <c r="K49" s="2" t="n"/>
      <c r="L49" s="2" t="n"/>
      <c r="M49" s="2" t="n"/>
      <c r="N49" s="2" t="n"/>
      <c r="O49" s="2" t="n"/>
    </row>
    <row r="50" ht="14" customHeight="1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2" t="n"/>
      <c r="L50" s="2" t="n"/>
      <c r="M50" s="2" t="n"/>
      <c r="N50" s="2" t="n"/>
      <c r="O50" s="2" t="n"/>
    </row>
    <row r="51" ht="26" customHeight="1">
      <c r="A51" s="32" t="inlineStr">
        <is>
          <t>TIPS</t>
        </is>
      </c>
      <c r="B51" s="44" t="n"/>
      <c r="C51" s="44" t="n"/>
      <c r="D51" s="44" t="n"/>
      <c r="E51" s="44" t="n"/>
      <c r="F51" s="45" t="n"/>
      <c r="G51" s="31" t="n"/>
      <c r="H51" s="44" t="n"/>
      <c r="I51" s="44" t="n"/>
      <c r="J51" s="45" t="n"/>
      <c r="K51" s="2" t="n"/>
      <c r="L51" s="2" t="n"/>
      <c r="M51" s="2" t="n"/>
      <c r="N51" s="2" t="n"/>
      <c r="O51" s="2" t="n"/>
    </row>
    <row r="52" ht="26" customHeight="1">
      <c r="A52" s="30" t="inlineStr">
        <is>
          <t>TOTAL EXPENSES</t>
        </is>
      </c>
      <c r="B52" s="44" t="n"/>
      <c r="C52" s="44" t="n"/>
      <c r="D52" s="44" t="n"/>
      <c r="E52" s="44" t="n"/>
      <c r="F52" s="45" t="n"/>
      <c r="G52" s="31" t="n"/>
      <c r="H52" s="44" t="n"/>
      <c r="I52" s="44" t="n"/>
      <c r="J52" s="45" t="n"/>
      <c r="K52" s="2" t="n"/>
      <c r="L52" s="2" t="n"/>
      <c r="M52" s="2" t="n"/>
      <c r="N52" s="2" t="n"/>
      <c r="O52" s="2" t="n"/>
    </row>
    <row r="53" ht="14" customHeight="1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2" t="n"/>
      <c r="L53" s="2" t="n"/>
      <c r="M53" s="2" t="n"/>
      <c r="N53" s="2" t="n"/>
      <c r="O53" s="2" t="n"/>
    </row>
    <row r="54" ht="36" customHeight="1">
      <c r="A54" s="49" t="inlineStr">
        <is>
          <t>NET PROFIT  =  Chip Diff − (Tips + Expenses)</t>
        </is>
      </c>
      <c r="B54" s="46" t="n"/>
      <c r="C54" s="46" t="n"/>
      <c r="D54" s="46" t="n"/>
      <c r="E54" s="46" t="n"/>
      <c r="F54" s="47" t="n"/>
      <c r="G54" s="50">
        <f>IF(G42="","",G42-IF(G51="",0,G51)-IF(G52="",0,G52))</f>
        <v/>
      </c>
      <c r="H54" s="46" t="n"/>
      <c r="I54" s="46" t="n"/>
      <c r="J54" s="47" t="n"/>
      <c r="K54" s="2" t="n"/>
      <c r="L54" s="2" t="n"/>
      <c r="M54" s="2" t="n"/>
      <c r="N54" s="2" t="n"/>
      <c r="O54" s="2" t="n"/>
    </row>
    <row r="55" ht="14" customHeight="1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2" t="n"/>
      <c r="L55" s="2" t="n"/>
      <c r="M55" s="2" t="n"/>
      <c r="N55" s="2" t="n"/>
      <c r="O55" s="2" t="n"/>
    </row>
    <row r="56" ht="22" customHeight="1">
      <c r="A56" s="55" t="inlineStr">
        <is>
          <t xml:space="preserve">  PROFIT DISTRIBUTION</t>
        </is>
      </c>
      <c r="K56" s="2" t="n"/>
      <c r="L56" s="2" t="n"/>
      <c r="M56" s="2" t="n"/>
      <c r="N56" s="2" t="n"/>
      <c r="O56" s="2" t="n"/>
    </row>
    <row r="57" ht="28" customHeight="1">
      <c r="A57" s="7" t="inlineStr">
        <is>
          <t>S.NO</t>
        </is>
      </c>
      <c r="B57" s="7" t="inlineStr">
        <is>
          <t>NAME</t>
        </is>
      </c>
      <c r="C57" s="7" t="inlineStr">
        <is>
          <t>AMOUNT</t>
        </is>
      </c>
      <c r="D57" s="56" t="n"/>
      <c r="E57" s="56" t="n"/>
      <c r="F57" s="56" t="n"/>
      <c r="G57" s="56" t="n"/>
      <c r="H57" s="56" t="n"/>
      <c r="I57" s="56" t="n"/>
      <c r="J57" s="56" t="n"/>
      <c r="K57" s="2" t="n"/>
      <c r="L57" s="2" t="n"/>
      <c r="M57" s="2" t="n"/>
      <c r="N57" s="2" t="n"/>
      <c r="O57" s="2" t="n"/>
    </row>
    <row r="58" ht="24" customHeight="1">
      <c r="A58" s="14" t="n">
        <v>1</v>
      </c>
      <c r="B58" s="57" t="inlineStr">
        <is>
          <t>Vishnu</t>
        </is>
      </c>
      <c r="C58" s="59">
        <f>IF(G54="","",G54*0.1)</f>
        <v/>
      </c>
      <c r="D58" s="60" t="n"/>
      <c r="E58" s="60" t="n"/>
      <c r="F58" s="60" t="n"/>
      <c r="G58" s="60" t="n"/>
      <c r="H58" s="60" t="n"/>
      <c r="I58" s="60" t="n"/>
      <c r="J58" s="60" t="n"/>
      <c r="K58" s="2" t="n"/>
      <c r="L58" s="2" t="n"/>
      <c r="M58" s="2" t="n"/>
      <c r="N58" s="2" t="n"/>
      <c r="O58" s="2" t="n"/>
    </row>
    <row r="59" ht="24" customHeight="1">
      <c r="A59" s="8" t="n">
        <v>2</v>
      </c>
      <c r="B59" s="61" t="inlineStr">
        <is>
          <t>Sunish</t>
        </is>
      </c>
      <c r="C59" s="63">
        <f>IF(G54="","",G54*0.2)</f>
        <v/>
      </c>
      <c r="D59" s="64" t="n"/>
      <c r="E59" s="64" t="n"/>
      <c r="F59" s="64" t="n"/>
      <c r="G59" s="64" t="n"/>
      <c r="H59" s="64" t="n"/>
      <c r="I59" s="64" t="n"/>
      <c r="J59" s="64" t="n"/>
      <c r="K59" s="2" t="n"/>
      <c r="L59" s="2" t="n"/>
      <c r="M59" s="2" t="n"/>
      <c r="N59" s="2" t="n"/>
      <c r="O59" s="2" t="n"/>
    </row>
    <row r="60" ht="24" customHeight="1">
      <c r="A60" s="14" t="n">
        <v>3</v>
      </c>
      <c r="B60" s="57" t="inlineStr">
        <is>
          <t>Sharath</t>
        </is>
      </c>
      <c r="C60" s="59">
        <f>IF(G54="","",G54*0.075)</f>
        <v/>
      </c>
      <c r="D60" s="60" t="n"/>
      <c r="E60" s="60" t="n"/>
      <c r="F60" s="60" t="n"/>
      <c r="G60" s="60" t="n"/>
      <c r="H60" s="60" t="n"/>
      <c r="I60" s="60" t="n"/>
      <c r="J60" s="60" t="n"/>
      <c r="K60" s="2" t="n"/>
      <c r="L60" s="2" t="n"/>
      <c r="M60" s="2" t="n"/>
      <c r="N60" s="2" t="n"/>
      <c r="O60" s="2" t="n"/>
    </row>
    <row r="61" ht="24" customHeight="1">
      <c r="A61" s="8" t="n">
        <v>4</v>
      </c>
      <c r="B61" s="61" t="inlineStr">
        <is>
          <t>Aadesh</t>
        </is>
      </c>
      <c r="C61" s="63">
        <f>IF(G54="","",G54*0.075)</f>
        <v/>
      </c>
      <c r="D61" s="64" t="n"/>
      <c r="E61" s="64" t="n"/>
      <c r="F61" s="64" t="n"/>
      <c r="G61" s="64" t="n"/>
      <c r="H61" s="64" t="n"/>
      <c r="I61" s="64" t="n"/>
      <c r="J61" s="64" t="n"/>
      <c r="K61" s="2" t="n"/>
      <c r="L61" s="2" t="n"/>
      <c r="M61" s="2" t="n"/>
      <c r="N61" s="2" t="n"/>
      <c r="O61" s="2" t="n"/>
    </row>
    <row r="62" ht="24" customHeight="1">
      <c r="A62" s="14" t="n">
        <v>5</v>
      </c>
      <c r="B62" s="57" t="inlineStr">
        <is>
          <t>Raghu</t>
        </is>
      </c>
      <c r="C62" s="59">
        <f>IF(G54="","",G54*0.1)</f>
        <v/>
      </c>
      <c r="D62" s="60" t="n"/>
      <c r="E62" s="60" t="n"/>
      <c r="F62" s="60" t="n"/>
      <c r="G62" s="60" t="n"/>
      <c r="H62" s="60" t="n"/>
      <c r="I62" s="60" t="n"/>
      <c r="J62" s="60" t="n"/>
      <c r="K62" s="2" t="n"/>
      <c r="L62" s="2" t="n"/>
      <c r="M62" s="2" t="n"/>
      <c r="N62" s="2" t="n"/>
      <c r="O62" s="2" t="n"/>
    </row>
    <row r="63" ht="24" customHeight="1">
      <c r="A63" s="8" t="n">
        <v>6</v>
      </c>
      <c r="B63" s="61" t="inlineStr">
        <is>
          <t>Venkatesh</t>
        </is>
      </c>
      <c r="C63" s="63">
        <f>IF(G54="","",G54*0.05)</f>
        <v/>
      </c>
      <c r="D63" s="64" t="n"/>
      <c r="E63" s="64" t="n"/>
      <c r="F63" s="64" t="n"/>
      <c r="G63" s="64" t="n"/>
      <c r="H63" s="64" t="n"/>
      <c r="I63" s="64" t="n"/>
      <c r="J63" s="64" t="n"/>
      <c r="K63" s="2" t="n"/>
      <c r="L63" s="2" t="n"/>
      <c r="M63" s="2" t="n"/>
      <c r="N63" s="2" t="n"/>
      <c r="O63" s="2" t="n"/>
    </row>
    <row r="64" ht="24" customHeight="1">
      <c r="A64" s="14" t="n">
        <v>7</v>
      </c>
      <c r="B64" s="57" t="inlineStr">
        <is>
          <t>NP</t>
        </is>
      </c>
      <c r="C64" s="59">
        <f>IF(G54="","",G54*0.05)</f>
        <v/>
      </c>
      <c r="D64" s="60" t="n"/>
      <c r="E64" s="60" t="n"/>
      <c r="F64" s="60" t="n"/>
      <c r="G64" s="60" t="n"/>
      <c r="H64" s="60" t="n"/>
      <c r="I64" s="60" t="n"/>
      <c r="J64" s="60" t="n"/>
      <c r="K64" s="2" t="n"/>
      <c r="L64" s="2" t="n"/>
      <c r="M64" s="2" t="n"/>
      <c r="N64" s="2" t="n"/>
      <c r="O64" s="2" t="n"/>
    </row>
    <row r="65" ht="24" customHeight="1">
      <c r="A65" s="8" t="n">
        <v>8</v>
      </c>
      <c r="B65" s="61" t="inlineStr">
        <is>
          <t>Kalyan</t>
        </is>
      </c>
      <c r="C65" s="63">
        <f>IF(G54="","",G54*0.05)</f>
        <v/>
      </c>
      <c r="D65" s="64" t="n"/>
      <c r="E65" s="64" t="n"/>
      <c r="F65" s="64" t="n"/>
      <c r="G65" s="64" t="n"/>
      <c r="H65" s="64" t="n"/>
      <c r="I65" s="64" t="n"/>
      <c r="J65" s="64" t="n"/>
      <c r="K65" s="2" t="n"/>
      <c r="L65" s="2" t="n"/>
      <c r="M65" s="2" t="n"/>
      <c r="N65" s="2" t="n"/>
      <c r="O65" s="2" t="n"/>
    </row>
    <row r="66" ht="24" customHeight="1">
      <c r="A66" s="14" t="n">
        <v>9</v>
      </c>
      <c r="B66" s="57" t="inlineStr">
        <is>
          <t>RJ</t>
        </is>
      </c>
      <c r="C66" s="59">
        <f>IF(G54="","",G54*0.05)</f>
        <v/>
      </c>
      <c r="D66" s="60" t="n"/>
      <c r="E66" s="60" t="n"/>
      <c r="F66" s="60" t="n"/>
      <c r="G66" s="60" t="n"/>
      <c r="H66" s="60" t="n"/>
      <c r="I66" s="60" t="n"/>
      <c r="J66" s="60" t="n"/>
      <c r="K66" s="2" t="n"/>
      <c r="L66" s="2" t="n"/>
      <c r="M66" s="2" t="n"/>
      <c r="N66" s="2" t="n"/>
      <c r="O66" s="2" t="n"/>
    </row>
    <row r="67" ht="24" customHeight="1">
      <c r="A67" s="8" t="n">
        <v>10</v>
      </c>
      <c r="B67" s="61" t="inlineStr">
        <is>
          <t>Bala</t>
        </is>
      </c>
      <c r="C67" s="63">
        <f>IF(G54="","",G54*0.25)</f>
        <v/>
      </c>
      <c r="D67" s="64" t="n"/>
      <c r="E67" s="64" t="n"/>
      <c r="F67" s="64" t="n"/>
      <c r="G67" s="64" t="n"/>
      <c r="H67" s="64" t="n"/>
      <c r="I67" s="64" t="n"/>
      <c r="J67" s="64" t="n"/>
      <c r="K67" s="2" t="n"/>
      <c r="L67" s="2" t="n"/>
      <c r="M67" s="2" t="n"/>
      <c r="N67" s="2" t="n"/>
      <c r="O67" s="2" t="n"/>
    </row>
    <row r="68" ht="30" customHeight="1">
      <c r="A68" s="65" t="n"/>
      <c r="B68" s="66" t="inlineStr">
        <is>
          <t>TOTAL</t>
        </is>
      </c>
      <c r="C68" s="68">
        <f>SUM(C58:C67)</f>
        <v/>
      </c>
      <c r="D68" s="65" t="n"/>
      <c r="E68" s="65" t="n"/>
      <c r="F68" s="65" t="n"/>
      <c r="G68" s="65" t="n"/>
      <c r="H68" s="65" t="n"/>
      <c r="I68" s="65" t="n"/>
      <c r="J68" s="65" t="n"/>
      <c r="K68" s="2" t="n"/>
      <c r="L68" s="2" t="n"/>
      <c r="M68" s="2" t="n"/>
      <c r="N68" s="2" t="n"/>
      <c r="O68" s="2" t="n"/>
    </row>
    <row r="69" ht="20" customHeight="1">
      <c r="A69" s="69" t="inlineStr">
        <is>
          <t>♦  FAIR GAME. RESPECT THE GAME.  ♦</t>
        </is>
      </c>
      <c r="K69" s="2" t="n"/>
      <c r="L69" s="2" t="n"/>
      <c r="M69" s="2" t="n"/>
      <c r="N69" s="2" t="n"/>
      <c r="O69" s="2" t="n"/>
    </row>
    <row r="70" customHeight="1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2" t="n"/>
      <c r="L70" s="2" t="n"/>
      <c r="M70" s="2" t="n"/>
      <c r="N70" s="2" t="n"/>
      <c r="O70" s="2" t="n"/>
    </row>
    <row r="71" customHeight="1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2" t="n"/>
      <c r="L71" s="2" t="n"/>
      <c r="M71" s="2" t="n"/>
      <c r="N71" s="2" t="n"/>
      <c r="O71" s="2" t="n"/>
    </row>
    <row r="72" customHeight="1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2" t="n"/>
      <c r="L72" s="2" t="n"/>
      <c r="M72" s="2" t="n"/>
      <c r="N72" s="2" t="n"/>
      <c r="O72" s="2" t="n"/>
    </row>
    <row r="73" customHeight="1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2" t="n"/>
      <c r="L73" s="2" t="n"/>
      <c r="M73" s="2" t="n"/>
      <c r="N73" s="2" t="n"/>
      <c r="O73" s="2" t="n"/>
    </row>
    <row r="74" customHeight="1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2" t="n"/>
      <c r="L74" s="2" t="n"/>
      <c r="M74" s="2" t="n"/>
      <c r="N74" s="2" t="n"/>
      <c r="O74" s="2" t="n"/>
    </row>
    <row r="75" customHeight="1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2" t="n"/>
      <c r="L75" s="2" t="n"/>
      <c r="M75" s="2" t="n"/>
      <c r="N75" s="2" t="n"/>
      <c r="O75" s="2" t="n"/>
    </row>
    <row r="76" customHeight="1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2" t="n"/>
      <c r="L76" s="2" t="n"/>
      <c r="M76" s="2" t="n"/>
      <c r="N76" s="2" t="n"/>
      <c r="O76" s="2" t="n"/>
    </row>
    <row r="77" customHeight="1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2" t="n"/>
      <c r="L77" s="2" t="n"/>
      <c r="M77" s="2" t="n"/>
      <c r="N77" s="2" t="n"/>
      <c r="O77" s="2" t="n"/>
    </row>
    <row r="78" customHeight="1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2" t="n"/>
      <c r="L78" s="2" t="n"/>
      <c r="M78" s="2" t="n"/>
      <c r="N78" s="2" t="n"/>
      <c r="O78" s="2" t="n"/>
    </row>
    <row r="79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2" t="n"/>
      <c r="L79" s="2" t="n"/>
      <c r="M79" s="2" t="n"/>
      <c r="N79" s="2" t="n"/>
      <c r="O79" s="2" t="n"/>
    </row>
    <row r="80" customHeight="1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2" t="n"/>
      <c r="L80" s="2" t="n"/>
      <c r="M80" s="2" t="n"/>
      <c r="N80" s="2" t="n"/>
      <c r="O80" s="2" t="n"/>
    </row>
    <row r="81" customHeight="1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2" t="n"/>
      <c r="L81" s="2" t="n"/>
      <c r="M81" s="2" t="n"/>
      <c r="N81" s="2" t="n"/>
      <c r="O81" s="2" t="n"/>
    </row>
    <row r="82" customHeight="1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2" t="n"/>
      <c r="L82" s="2" t="n"/>
      <c r="M82" s="2" t="n"/>
      <c r="N82" s="2" t="n"/>
      <c r="O82" s="2" t="n"/>
    </row>
    <row r="83" customHeight="1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2" t="n"/>
      <c r="L83" s="2" t="n"/>
      <c r="M83" s="2" t="n"/>
      <c r="N83" s="2" t="n"/>
      <c r="O83" s="2" t="n"/>
    </row>
    <row r="84" customHeight="1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2" t="n"/>
      <c r="L84" s="2" t="n"/>
      <c r="M84" s="2" t="n"/>
      <c r="N84" s="2" t="n"/>
      <c r="O84" s="2" t="n"/>
    </row>
    <row r="85" customHeight="1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</sheetData>
  <mergeCells count="28">
    <mergeCell ref="A41:F41"/>
    <mergeCell ref="A54:F54"/>
    <mergeCell ref="A46:F46"/>
    <mergeCell ref="G51:J51"/>
    <mergeCell ref="G47:J47"/>
    <mergeCell ref="G54:J54"/>
    <mergeCell ref="A43:J43"/>
    <mergeCell ref="G41:J41"/>
    <mergeCell ref="A1:K1"/>
    <mergeCell ref="G44:J44"/>
    <mergeCell ref="G46:J46"/>
    <mergeCell ref="G40:J40"/>
    <mergeCell ref="A47:F47"/>
    <mergeCell ref="A42:F42"/>
    <mergeCell ref="A39:J39"/>
    <mergeCell ref="G52:J52"/>
    <mergeCell ref="G42:J42"/>
    <mergeCell ref="A52:F52"/>
    <mergeCell ref="A44:F44"/>
    <mergeCell ref="A2:K2"/>
    <mergeCell ref="A69:J69"/>
    <mergeCell ref="A40:F40"/>
    <mergeCell ref="A49:F49"/>
    <mergeCell ref="A51:F51"/>
    <mergeCell ref="G49:J49"/>
    <mergeCell ref="A45:F45"/>
    <mergeCell ref="A56:J56"/>
    <mergeCell ref="G45:J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8" customWidth="1" min="3" max="3"/>
  </cols>
  <sheetData>
    <row r="1" ht="34" customHeight="1">
      <c r="A1" s="38" t="inlineStr">
        <is>
          <t>♠  HOW TO USE THIS TRACKER  ♠</t>
        </is>
      </c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8" customHeight="1">
      <c r="A3" s="2" t="n"/>
      <c r="B3" s="39" t="inlineStr">
        <is>
          <t>STEP</t>
        </is>
      </c>
      <c r="C3" s="39" t="inlineStr">
        <is>
          <t>ACTION</t>
        </is>
      </c>
      <c r="D3" s="2" t="n"/>
      <c r="E3" s="2" t="n"/>
      <c r="F3" s="2" t="n"/>
      <c r="G3" s="2" t="n"/>
      <c r="H3" s="2" t="n"/>
    </row>
    <row r="4" ht="28" customHeight="1">
      <c r="A4" s="2" t="n"/>
      <c r="B4" s="40" t="inlineStr">
        <is>
          <t>1. Session setup</t>
        </is>
      </c>
      <c r="C4" s="24" t="inlineStr">
        <is>
          <t>Fill in date, session name, table, dealer in row 4.</t>
        </is>
      </c>
      <c r="D4" s="2" t="n"/>
      <c r="E4" s="2" t="n"/>
      <c r="F4" s="2" t="n"/>
      <c r="G4" s="2" t="n"/>
      <c r="H4" s="2" t="n"/>
    </row>
    <row r="5" ht="28" customHeight="1">
      <c r="A5" s="2" t="n"/>
      <c r="B5" s="41" t="inlineStr">
        <is>
          <t>2. Player buys in</t>
        </is>
      </c>
      <c r="C5" s="26" t="inlineStr">
        <is>
          <t>Enter player name in col B. First buy-in amount in col C.</t>
        </is>
      </c>
      <c r="D5" s="2" t="n"/>
      <c r="E5" s="2" t="n"/>
      <c r="F5" s="2" t="n"/>
      <c r="G5" s="2" t="n"/>
      <c r="H5" s="2" t="n"/>
    </row>
    <row r="6" ht="28" customHeight="1">
      <c r="A6" s="2" t="n"/>
      <c r="B6" s="40" t="inlineStr">
        <is>
          <t>3. Re-buy</t>
        </is>
      </c>
      <c r="C6" s="24" t="inlineStr">
        <is>
          <t>Each re-buy goes in the next column D, E, F. Total auto-sums in col G.</t>
        </is>
      </c>
      <c r="D6" s="2" t="n"/>
      <c r="E6" s="2" t="n"/>
      <c r="F6" s="2" t="n"/>
      <c r="G6" s="2" t="n"/>
      <c r="H6" s="2" t="n"/>
    </row>
    <row r="7" ht="28" customHeight="1">
      <c r="A7" s="2" t="n"/>
      <c r="B7" s="41" t="inlineStr">
        <is>
          <t>4. Cash out</t>
        </is>
      </c>
      <c r="C7" s="26" t="inlineStr">
        <is>
          <t>When player submits chips, enter the count in col H (CHIPS SUBMITTED).</t>
        </is>
      </c>
      <c r="D7" s="2" t="n"/>
      <c r="E7" s="2" t="n"/>
      <c r="F7" s="2" t="n"/>
      <c r="G7" s="2" t="n"/>
      <c r="H7" s="2" t="n"/>
    </row>
    <row r="8" ht="28" customHeight="1">
      <c r="A8" s="2" t="n"/>
      <c r="B8" s="40" t="inlineStr">
        <is>
          <t>5. P&amp;L</t>
        </is>
      </c>
      <c r="C8" s="24" t="inlineStr">
        <is>
          <t>Col I auto-shows: ▲ green = player won, ▼ red = player lost.</t>
        </is>
      </c>
      <c r="D8" s="2" t="n"/>
      <c r="E8" s="2" t="n"/>
      <c r="F8" s="2" t="n"/>
      <c r="G8" s="2" t="n"/>
      <c r="H8" s="2" t="n"/>
    </row>
    <row r="9" ht="28" customHeight="1">
      <c r="A9" s="2" t="n"/>
      <c r="B9" s="41" t="inlineStr">
        <is>
          <t>6. Chip difference</t>
        </is>
      </c>
      <c r="C9" s="26" t="inlineStr">
        <is>
          <t>Row 42 shows Chip Difference (auto) = Total Issued − Total Returned.</t>
        </is>
      </c>
      <c r="D9" s="2" t="n"/>
      <c r="E9" s="2" t="n"/>
      <c r="F9" s="2" t="n"/>
      <c r="G9" s="2" t="n"/>
      <c r="H9" s="2" t="n"/>
    </row>
    <row r="10" ht="28" customHeight="1">
      <c r="A10" s="2" t="n"/>
      <c r="B10" s="40" t="inlineStr">
        <is>
          <t>7. Enter rake</t>
        </is>
      </c>
      <c r="C10" s="24" t="inlineStr">
        <is>
          <t>Rows 44-47: manually enter rake collected at each table (blue cells).</t>
        </is>
      </c>
      <c r="D10" s="2" t="n"/>
      <c r="E10" s="2" t="n"/>
      <c r="F10" s="2" t="n"/>
      <c r="G10" s="2" t="n"/>
      <c r="H10" s="2" t="n"/>
    </row>
    <row r="11" ht="28" customHeight="1">
      <c r="A11" s="2" t="n"/>
      <c r="B11" s="41" t="inlineStr">
        <is>
          <t>8. Total rake</t>
        </is>
      </c>
      <c r="C11" s="26" t="inlineStr">
        <is>
          <t>Row 49 sums all 4 table rakes automatically.</t>
        </is>
      </c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7" t="inlineStr">
        <is>
          <t>♦  FAIR GAME. RESPECT THE GAME.  ♦</t>
        </is>
      </c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2026-05-05T19:58:13Z</dcterms:created>
  <dcterms:modified xmlns:dcterms="http://purl.org/dc/terms/" xmlns:xsi="http://www.w3.org/2001/XMLSchema-instance" xsi:type="dcterms:W3CDTF">2026-05-05T20:45:19Z</dcterms:modified>
</cp:coreProperties>
</file>